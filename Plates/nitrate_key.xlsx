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edonswanson/Desktop/School/MS/Research/Microplate/Plates/"/>
    </mc:Choice>
  </mc:AlternateContent>
  <xr:revisionPtr revIDLastSave="0" documentId="13_ncr:1_{0487EB1C-5029-9441-9D0A-8398755B4365}" xr6:coauthVersionLast="47" xr6:coauthVersionMax="47" xr10:uidLastSave="{00000000-0000-0000-0000-000000000000}"/>
  <bookViews>
    <workbookView xWindow="0" yWindow="660" windowWidth="34560" windowHeight="21680" firstSheet="2" activeTab="10" xr2:uid="{B6428683-2A57-0F44-B42C-96122C72F6E2}"/>
  </bookViews>
  <sheets>
    <sheet name="Format" sheetId="1" r:id="rId1"/>
    <sheet name="06182026_1" sheetId="3" r:id="rId2"/>
    <sheet name="06182026_2" sheetId="4" r:id="rId3"/>
    <sheet name="06192026_1" sheetId="5" r:id="rId4"/>
    <sheet name="06192026_2" sheetId="6" r:id="rId5"/>
    <sheet name="06192026_3" sheetId="8" r:id="rId6"/>
    <sheet name="06192026_4" sheetId="9" r:id="rId7"/>
    <sheet name="06222026_1" sheetId="11" r:id="rId8"/>
    <sheet name="06222026_2" sheetId="12" r:id="rId9"/>
    <sheet name="06242026_1" sheetId="13" r:id="rId10"/>
    <sheet name="06242026_2" sheetId="14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2" l="1"/>
  <c r="G13" i="12"/>
  <c r="G14" i="12"/>
  <c r="G11" i="12"/>
</calcChain>
</file>

<file path=xl/sharedStrings.xml><?xml version="1.0" encoding="utf-8"?>
<sst xmlns="http://schemas.openxmlformats.org/spreadsheetml/2006/main" count="791" uniqueCount="76">
  <si>
    <t>A</t>
  </si>
  <si>
    <t>Low STD 0</t>
  </si>
  <si>
    <t>High STD 0</t>
  </si>
  <si>
    <t>B</t>
  </si>
  <si>
    <t>Low STD 1</t>
  </si>
  <si>
    <t>High STD 1</t>
  </si>
  <si>
    <t>C</t>
  </si>
  <si>
    <t>Low STD 2</t>
  </si>
  <si>
    <t>High STD 2</t>
  </si>
  <si>
    <t>D</t>
  </si>
  <si>
    <t>Low STD 3</t>
  </si>
  <si>
    <t>High STD 3</t>
  </si>
  <si>
    <t>E</t>
  </si>
  <si>
    <t>Low STD 4</t>
  </si>
  <si>
    <t>High STD 4</t>
  </si>
  <si>
    <t>F</t>
  </si>
  <si>
    <t>Low STD 5</t>
  </si>
  <si>
    <t>High STD 5</t>
  </si>
  <si>
    <t>G</t>
  </si>
  <si>
    <t>Low STD 6</t>
  </si>
  <si>
    <t>High STD 6</t>
  </si>
  <si>
    <t>H</t>
  </si>
  <si>
    <t>Low STD 7</t>
  </si>
  <si>
    <t>High STD 7</t>
  </si>
  <si>
    <t>adams-out_06012026</t>
  </si>
  <si>
    <t>elm-school_06012026</t>
  </si>
  <si>
    <t>elm-school_05222026</t>
  </si>
  <si>
    <t>adams-in_06012026</t>
  </si>
  <si>
    <t>elm-school_06122026</t>
  </si>
  <si>
    <t>adams-in_06122026</t>
  </si>
  <si>
    <t>gcp_05282026</t>
  </si>
  <si>
    <t>gcp_06122026</t>
  </si>
  <si>
    <t>elm-bridge_06122026</t>
  </si>
  <si>
    <t>elm-bridge_05222026</t>
  </si>
  <si>
    <t>gcp_06172026</t>
  </si>
  <si>
    <t>elm-school_06172026</t>
  </si>
  <si>
    <t>elm-bridge_06172026</t>
  </si>
  <si>
    <t>adams-in_06172026</t>
  </si>
  <si>
    <t>adams-out_06172026</t>
  </si>
  <si>
    <t>heron-map_06172026</t>
  </si>
  <si>
    <t>adams-mid-down_06172026</t>
  </si>
  <si>
    <t>heron-resi_06172026</t>
  </si>
  <si>
    <t>heron-out_06172026</t>
  </si>
  <si>
    <t>adams-in_06192026</t>
  </si>
  <si>
    <t>elm-bridge_06192026</t>
  </si>
  <si>
    <t>adams-mid-down_06192026</t>
  </si>
  <si>
    <t>elm-school_06192026</t>
  </si>
  <si>
    <t>adams-mid-up_06192026</t>
  </si>
  <si>
    <t>adams-out_06192026</t>
  </si>
  <si>
    <t>heron-resi_05282026</t>
  </si>
  <si>
    <t>gcp_06192026</t>
  </si>
  <si>
    <t>heron-out_05282026</t>
  </si>
  <si>
    <t>heron-out_06122026</t>
  </si>
  <si>
    <t>adams-mid-down_06122026</t>
  </si>
  <si>
    <t>adams-out_06122026</t>
  </si>
  <si>
    <t>elm-bridge_06112026</t>
  </si>
  <si>
    <t>heron-resi_06122026</t>
  </si>
  <si>
    <t>elm-bridge_06212026</t>
  </si>
  <si>
    <t>elm-school_06212026</t>
  </si>
  <si>
    <t>adams-in_06212026</t>
  </si>
  <si>
    <t>adams-mid-up_06212026</t>
  </si>
  <si>
    <t>adams-out_06212026</t>
  </si>
  <si>
    <t>gcp_06212026</t>
  </si>
  <si>
    <t>heron-resi_06212026</t>
  </si>
  <si>
    <t>heron-out_06212026</t>
  </si>
  <si>
    <t>heron-map_06212026</t>
  </si>
  <si>
    <t>heron-map_06122026</t>
  </si>
  <si>
    <t>heron-map_06192026</t>
  </si>
  <si>
    <t>heron-resi_06192026</t>
  </si>
  <si>
    <t>heron-out_06192026</t>
  </si>
  <si>
    <t>adams-mid-down_06212026</t>
  </si>
  <si>
    <t>elm-bridge_06012026</t>
  </si>
  <si>
    <t>gcp-x5dilute_06212026</t>
  </si>
  <si>
    <t>heron-resi-x5dilute_06212026</t>
  </si>
  <si>
    <t>elm-school-x5dilute_06212026</t>
  </si>
  <si>
    <t>heron-map-x5dilute_06212026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</si>
</sst>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F3F9-8DB7-D542-9661-67B70C299690}">
  <dimension ref="A1:M9"/>
  <sheetViews>
    <sheetView workbookViewId="0">
      <selection activeCell="C2" sqref="C2:D9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5</v>
      </c>
      <c r="F3" t="s">
        <v>5</v>
      </c>
      <c r="G3" t="s">
        <v>5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8</v>
      </c>
      <c r="F4" t="s">
        <v>8</v>
      </c>
      <c r="G4" t="s">
        <v>8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11</v>
      </c>
      <c r="F5" t="s">
        <v>11</v>
      </c>
      <c r="G5" t="s">
        <v>11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14</v>
      </c>
      <c r="F6" t="s">
        <v>14</v>
      </c>
      <c r="G6" t="s">
        <v>14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17</v>
      </c>
      <c r="F7" t="s">
        <v>17</v>
      </c>
      <c r="G7" t="s">
        <v>17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20</v>
      </c>
      <c r="F8" t="s">
        <v>20</v>
      </c>
      <c r="G8" t="s">
        <v>20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23</v>
      </c>
      <c r="F9" t="s">
        <v>23</v>
      </c>
      <c r="G9" t="s">
        <v>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28D01-3A45-7E46-912C-9944342FCD5A}">
  <dimension ref="A1:M9"/>
  <sheetViews>
    <sheetView workbookViewId="0">
      <selection activeCell="L1" sqref="L1:L1048576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7" width="24.33203125" bestFit="1" customWidth="1"/>
    <col min="8" max="10" width="19.1640625" bestFit="1" customWidth="1"/>
    <col min="11" max="13" width="18.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24</v>
      </c>
      <c r="F2" t="s">
        <v>24</v>
      </c>
      <c r="G2" t="s">
        <v>24</v>
      </c>
      <c r="H2" t="s">
        <v>25</v>
      </c>
      <c r="I2" t="s">
        <v>25</v>
      </c>
      <c r="J2" t="s">
        <v>25</v>
      </c>
      <c r="K2" t="s">
        <v>56</v>
      </c>
      <c r="L2" t="s">
        <v>56</v>
      </c>
      <c r="M2" t="s">
        <v>56</v>
      </c>
    </row>
    <row r="3" spans="1:13" ht="16" customHeight="1" x14ac:dyDescent="0.2">
      <c r="A3" t="s">
        <v>3</v>
      </c>
      <c r="B3" t="s">
        <v>4</v>
      </c>
      <c r="C3" t="s">
        <v>4</v>
      </c>
      <c r="D3" t="s">
        <v>4</v>
      </c>
      <c r="E3" t="s">
        <v>54</v>
      </c>
      <c r="F3" t="s">
        <v>54</v>
      </c>
      <c r="G3" t="s">
        <v>54</v>
      </c>
      <c r="H3" t="s">
        <v>26</v>
      </c>
      <c r="I3" t="s">
        <v>26</v>
      </c>
      <c r="J3" t="s">
        <v>26</v>
      </c>
      <c r="K3" t="s">
        <v>49</v>
      </c>
      <c r="L3" t="s">
        <v>49</v>
      </c>
      <c r="M3" t="s">
        <v>49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27</v>
      </c>
      <c r="F4" t="s">
        <v>27</v>
      </c>
      <c r="G4" t="s">
        <v>27</v>
      </c>
      <c r="H4" t="s">
        <v>28</v>
      </c>
      <c r="I4" t="s">
        <v>28</v>
      </c>
      <c r="J4" t="s">
        <v>28</v>
      </c>
      <c r="K4" t="s">
        <v>51</v>
      </c>
      <c r="L4" t="s">
        <v>51</v>
      </c>
      <c r="M4" t="s">
        <v>51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29</v>
      </c>
      <c r="F5" t="s">
        <v>29</v>
      </c>
      <c r="G5" t="s">
        <v>29</v>
      </c>
      <c r="H5" t="s">
        <v>30</v>
      </c>
      <c r="I5" t="s">
        <v>30</v>
      </c>
      <c r="J5" t="s">
        <v>30</v>
      </c>
    </row>
    <row r="6" spans="1:13" ht="16" customHeight="1" x14ac:dyDescent="0.2">
      <c r="A6" t="s">
        <v>12</v>
      </c>
      <c r="B6" t="s">
        <v>13</v>
      </c>
      <c r="C6" t="s">
        <v>13</v>
      </c>
      <c r="D6" t="s">
        <v>13</v>
      </c>
      <c r="E6" t="s">
        <v>53</v>
      </c>
      <c r="F6" t="s">
        <v>53</v>
      </c>
      <c r="G6" t="s">
        <v>53</v>
      </c>
      <c r="H6" t="s">
        <v>31</v>
      </c>
      <c r="I6" t="s">
        <v>31</v>
      </c>
      <c r="J6" t="s">
        <v>31</v>
      </c>
    </row>
    <row r="7" spans="1:13" ht="16" customHeight="1" x14ac:dyDescent="0.2">
      <c r="A7" t="s">
        <v>15</v>
      </c>
      <c r="B7" t="s">
        <v>16</v>
      </c>
      <c r="C7" t="s">
        <v>16</v>
      </c>
      <c r="D7" t="s">
        <v>16</v>
      </c>
      <c r="E7" t="s">
        <v>71</v>
      </c>
      <c r="F7" t="s">
        <v>71</v>
      </c>
      <c r="G7" t="s">
        <v>71</v>
      </c>
    </row>
    <row r="8" spans="1:13" ht="16" customHeight="1" x14ac:dyDescent="0.2">
      <c r="A8" t="s">
        <v>18</v>
      </c>
      <c r="B8" t="s">
        <v>19</v>
      </c>
      <c r="C8" t="s">
        <v>19</v>
      </c>
      <c r="D8" t="s">
        <v>19</v>
      </c>
      <c r="E8" t="s">
        <v>32</v>
      </c>
      <c r="F8" t="s">
        <v>32</v>
      </c>
      <c r="G8" t="s">
        <v>32</v>
      </c>
      <c r="H8" t="s">
        <v>52</v>
      </c>
      <c r="I8" t="s">
        <v>52</v>
      </c>
      <c r="J8" t="s">
        <v>52</v>
      </c>
    </row>
    <row r="9" spans="1:13" ht="16" customHeight="1" x14ac:dyDescent="0.2">
      <c r="A9" t="s">
        <v>21</v>
      </c>
      <c r="B9" t="s">
        <v>22</v>
      </c>
      <c r="C9" t="s">
        <v>22</v>
      </c>
      <c r="D9" t="s">
        <v>22</v>
      </c>
      <c r="E9" t="s">
        <v>33</v>
      </c>
      <c r="F9" t="s">
        <v>33</v>
      </c>
      <c r="G9" t="s">
        <v>33</v>
      </c>
      <c r="H9" t="s">
        <v>66</v>
      </c>
      <c r="I9" t="s">
        <v>66</v>
      </c>
      <c r="J9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A5C2-CC37-4DE5-8D3C-DCD54EC66921}">
  <dimension ref="A1:M9"/>
  <sheetViews>
    <sheetView workbookViewId="0">
      <selection sqref="A1:D8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7" width="24.33203125" bestFit="1" customWidth="1"/>
    <col min="8" max="10" width="12.8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41</v>
      </c>
      <c r="F2" t="s">
        <v>41</v>
      </c>
      <c r="G2" t="s">
        <v>41</v>
      </c>
      <c r="H2" t="s">
        <v>34</v>
      </c>
      <c r="I2" t="s">
        <v>34</v>
      </c>
      <c r="J2" t="s">
        <v>34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42</v>
      </c>
      <c r="F3" t="s">
        <v>42</v>
      </c>
      <c r="G3" t="s">
        <v>42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39</v>
      </c>
      <c r="F4" t="s">
        <v>39</v>
      </c>
      <c r="G4" t="s">
        <v>39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35</v>
      </c>
      <c r="F5" t="s">
        <v>35</v>
      </c>
      <c r="G5" t="s">
        <v>35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36</v>
      </c>
      <c r="F6" t="s">
        <v>36</v>
      </c>
      <c r="G6" t="s">
        <v>36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37</v>
      </c>
      <c r="F7" t="s">
        <v>37</v>
      </c>
      <c r="G7" t="s">
        <v>37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40</v>
      </c>
      <c r="F8" t="s">
        <v>40</v>
      </c>
      <c r="G8" t="s">
        <v>40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38</v>
      </c>
      <c r="F9" t="s">
        <v>38</v>
      </c>
      <c r="G9" t="s">
        <v>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0DE84-DF99-4AAA-815E-10A80CB578E0}">
  <dimension ref="A1:M9"/>
  <sheetViews>
    <sheetView workbookViewId="0">
      <selection activeCell="L2" sqref="L2:M9"/>
    </sheetView>
  </sheetViews>
  <sheetFormatPr baseColWidth="10" defaultColWidth="11" defaultRowHeight="16" x14ac:dyDescent="0.2"/>
  <cols>
    <col min="1" max="1" width="2.5" bestFit="1" customWidth="1"/>
    <col min="2" max="4" width="9.1640625" bestFit="1" customWidth="1"/>
    <col min="5" max="10" width="24.33203125" bestFit="1" customWidth="1"/>
    <col min="11" max="13" width="19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67</v>
      </c>
      <c r="F2" t="s">
        <v>67</v>
      </c>
      <c r="G2" t="s">
        <v>67</v>
      </c>
      <c r="H2" t="s">
        <v>37</v>
      </c>
      <c r="I2" t="s">
        <v>37</v>
      </c>
      <c r="J2" t="s">
        <v>37</v>
      </c>
      <c r="K2" t="s">
        <v>39</v>
      </c>
      <c r="L2" t="s">
        <v>39</v>
      </c>
      <c r="M2" t="s">
        <v>39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68</v>
      </c>
      <c r="F3" t="s">
        <v>68</v>
      </c>
      <c r="G3" t="s">
        <v>68</v>
      </c>
      <c r="H3" t="s">
        <v>40</v>
      </c>
      <c r="I3" t="s">
        <v>40</v>
      </c>
      <c r="J3" t="s">
        <v>40</v>
      </c>
      <c r="K3" t="s">
        <v>41</v>
      </c>
      <c r="L3" t="s">
        <v>41</v>
      </c>
      <c r="M3" t="s">
        <v>41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69</v>
      </c>
      <c r="F4" t="s">
        <v>69</v>
      </c>
      <c r="G4" t="s">
        <v>69</v>
      </c>
      <c r="H4" t="s">
        <v>38</v>
      </c>
      <c r="I4" t="s">
        <v>38</v>
      </c>
      <c r="J4" t="s">
        <v>38</v>
      </c>
      <c r="K4" t="s">
        <v>42</v>
      </c>
      <c r="L4" t="s">
        <v>42</v>
      </c>
      <c r="M4" t="s">
        <v>42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43</v>
      </c>
      <c r="F5" t="s">
        <v>43</v>
      </c>
      <c r="G5" t="s">
        <v>43</v>
      </c>
      <c r="H5" t="s">
        <v>44</v>
      </c>
      <c r="I5" t="s">
        <v>44</v>
      </c>
      <c r="J5" t="s">
        <v>44</v>
      </c>
      <c r="K5" t="s">
        <v>36</v>
      </c>
      <c r="L5" t="s">
        <v>36</v>
      </c>
      <c r="M5" t="s">
        <v>36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45</v>
      </c>
      <c r="F6" t="s">
        <v>45</v>
      </c>
      <c r="G6" t="s">
        <v>45</v>
      </c>
      <c r="H6" t="s">
        <v>46</v>
      </c>
      <c r="I6" t="s">
        <v>46</v>
      </c>
      <c r="J6" t="s">
        <v>46</v>
      </c>
      <c r="K6" t="s">
        <v>35</v>
      </c>
      <c r="L6" t="s">
        <v>35</v>
      </c>
      <c r="M6" t="s">
        <v>35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47</v>
      </c>
      <c r="F7" t="s">
        <v>47</v>
      </c>
      <c r="G7" t="s">
        <v>47</v>
      </c>
      <c r="H7" t="s">
        <v>34</v>
      </c>
      <c r="I7" t="s">
        <v>34</v>
      </c>
      <c r="J7" t="s">
        <v>34</v>
      </c>
      <c r="K7" t="s">
        <v>30</v>
      </c>
      <c r="L7" t="s">
        <v>30</v>
      </c>
      <c r="M7" t="s">
        <v>30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48</v>
      </c>
      <c r="F8" t="s">
        <v>48</v>
      </c>
      <c r="G8" t="s">
        <v>48</v>
      </c>
      <c r="H8" t="s">
        <v>49</v>
      </c>
      <c r="I8" t="s">
        <v>49</v>
      </c>
      <c r="J8" t="s">
        <v>49</v>
      </c>
      <c r="K8" t="s">
        <v>31</v>
      </c>
      <c r="L8" t="s">
        <v>31</v>
      </c>
      <c r="M8" t="s">
        <v>31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50</v>
      </c>
      <c r="F9" t="s">
        <v>50</v>
      </c>
      <c r="G9" t="s">
        <v>50</v>
      </c>
      <c r="H9" t="s">
        <v>51</v>
      </c>
      <c r="I9" t="s">
        <v>51</v>
      </c>
      <c r="J9" t="s">
        <v>51</v>
      </c>
      <c r="K9" t="s">
        <v>24</v>
      </c>
      <c r="L9" t="s">
        <v>24</v>
      </c>
      <c r="M9" t="s">
        <v>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EDA15-6520-4C56-8C16-6BF2362B08F7}">
  <dimension ref="A1:M9"/>
  <sheetViews>
    <sheetView workbookViewId="0">
      <selection sqref="A1:D9"/>
    </sheetView>
  </sheetViews>
  <sheetFormatPr baseColWidth="10" defaultColWidth="11" defaultRowHeight="16" x14ac:dyDescent="0.2"/>
  <cols>
    <col min="1" max="1" width="14" bestFit="1" customWidth="1"/>
    <col min="2" max="4" width="9.6640625" bestFit="1" customWidth="1"/>
    <col min="5" max="10" width="24.33203125" bestFit="1" customWidth="1"/>
    <col min="11" max="13" width="19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67</v>
      </c>
      <c r="F2" t="s">
        <v>67</v>
      </c>
      <c r="G2" t="s">
        <v>67</v>
      </c>
      <c r="H2" t="s">
        <v>37</v>
      </c>
      <c r="I2" t="s">
        <v>37</v>
      </c>
      <c r="J2" t="s">
        <v>37</v>
      </c>
      <c r="K2" t="s">
        <v>39</v>
      </c>
      <c r="L2" t="s">
        <v>39</v>
      </c>
      <c r="M2" t="s">
        <v>39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68</v>
      </c>
      <c r="F3" t="s">
        <v>68</v>
      </c>
      <c r="G3" t="s">
        <v>68</v>
      </c>
      <c r="H3" t="s">
        <v>40</v>
      </c>
      <c r="I3" t="s">
        <v>40</v>
      </c>
      <c r="J3" t="s">
        <v>40</v>
      </c>
      <c r="K3" t="s">
        <v>41</v>
      </c>
      <c r="L3" t="s">
        <v>41</v>
      </c>
      <c r="M3" t="s">
        <v>41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69</v>
      </c>
      <c r="F4" t="s">
        <v>69</v>
      </c>
      <c r="G4" t="s">
        <v>69</v>
      </c>
      <c r="H4" t="s">
        <v>38</v>
      </c>
      <c r="I4" t="s">
        <v>38</v>
      </c>
      <c r="J4" t="s">
        <v>38</v>
      </c>
      <c r="K4" t="s">
        <v>42</v>
      </c>
      <c r="L4" t="s">
        <v>42</v>
      </c>
      <c r="M4" t="s">
        <v>42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43</v>
      </c>
      <c r="F5" t="s">
        <v>43</v>
      </c>
      <c r="G5" t="s">
        <v>43</v>
      </c>
      <c r="H5" t="s">
        <v>44</v>
      </c>
      <c r="I5" t="s">
        <v>44</v>
      </c>
      <c r="J5" t="s">
        <v>44</v>
      </c>
      <c r="K5" t="s">
        <v>36</v>
      </c>
      <c r="L5" t="s">
        <v>36</v>
      </c>
      <c r="M5" t="s">
        <v>36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45</v>
      </c>
      <c r="F6" t="s">
        <v>45</v>
      </c>
      <c r="G6" t="s">
        <v>45</v>
      </c>
      <c r="H6" t="s">
        <v>46</v>
      </c>
      <c r="I6" t="s">
        <v>46</v>
      </c>
      <c r="J6" t="s">
        <v>46</v>
      </c>
      <c r="K6" t="s">
        <v>35</v>
      </c>
      <c r="L6" t="s">
        <v>35</v>
      </c>
      <c r="M6" t="s">
        <v>35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47</v>
      </c>
      <c r="F7" t="s">
        <v>47</v>
      </c>
      <c r="G7" t="s">
        <v>47</v>
      </c>
      <c r="H7" t="s">
        <v>34</v>
      </c>
      <c r="I7" t="s">
        <v>34</v>
      </c>
      <c r="J7" t="s">
        <v>34</v>
      </c>
      <c r="K7" t="s">
        <v>30</v>
      </c>
      <c r="L7" t="s">
        <v>30</v>
      </c>
      <c r="M7" t="s">
        <v>30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48</v>
      </c>
      <c r="F8" t="s">
        <v>48</v>
      </c>
      <c r="G8" t="s">
        <v>48</v>
      </c>
      <c r="H8" t="s">
        <v>49</v>
      </c>
      <c r="I8" t="s">
        <v>49</v>
      </c>
      <c r="J8" t="s">
        <v>49</v>
      </c>
      <c r="K8" t="s">
        <v>31</v>
      </c>
      <c r="L8" t="s">
        <v>31</v>
      </c>
      <c r="M8" t="s">
        <v>31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50</v>
      </c>
      <c r="F9" t="s">
        <v>50</v>
      </c>
      <c r="G9" t="s">
        <v>50</v>
      </c>
      <c r="H9" t="s">
        <v>51</v>
      </c>
      <c r="I9" t="s">
        <v>51</v>
      </c>
      <c r="J9" t="s">
        <v>51</v>
      </c>
      <c r="K9" t="s">
        <v>24</v>
      </c>
      <c r="L9" t="s">
        <v>24</v>
      </c>
      <c r="M9" t="s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D2C9A-CA68-4C73-8E9C-B2F3F39F8518}">
  <dimension ref="A1:M9"/>
  <sheetViews>
    <sheetView workbookViewId="0">
      <selection activeCell="L2" sqref="L2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  <col min="5" max="7" width="19.1640625" bestFit="1" customWidth="1"/>
    <col min="8" max="10" width="24.33203125" bestFit="1" customWidth="1"/>
    <col min="11" max="11" width="3.1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25</v>
      </c>
      <c r="F2" t="s">
        <v>25</v>
      </c>
      <c r="G2" t="s">
        <v>25</v>
      </c>
      <c r="H2" t="s">
        <v>52</v>
      </c>
      <c r="I2" t="s">
        <v>52</v>
      </c>
      <c r="J2" t="s">
        <v>52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26</v>
      </c>
      <c r="F3" t="s">
        <v>26</v>
      </c>
      <c r="G3" t="s">
        <v>26</v>
      </c>
      <c r="H3" t="s">
        <v>28</v>
      </c>
      <c r="I3" t="s">
        <v>28</v>
      </c>
      <c r="J3" t="s">
        <v>28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29</v>
      </c>
      <c r="F4" t="s">
        <v>29</v>
      </c>
      <c r="G4" t="s">
        <v>29</v>
      </c>
      <c r="H4" t="s">
        <v>53</v>
      </c>
      <c r="I4" t="s">
        <v>53</v>
      </c>
      <c r="J4" t="s">
        <v>53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54</v>
      </c>
      <c r="F5" t="s">
        <v>54</v>
      </c>
      <c r="G5" t="s">
        <v>54</v>
      </c>
      <c r="H5" t="s">
        <v>66</v>
      </c>
      <c r="I5" t="s">
        <v>66</v>
      </c>
      <c r="J5" t="s">
        <v>66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33</v>
      </c>
      <c r="F6" t="s">
        <v>33</v>
      </c>
      <c r="G6" t="s">
        <v>33</v>
      </c>
      <c r="H6" t="s">
        <v>55</v>
      </c>
      <c r="I6" t="s">
        <v>55</v>
      </c>
      <c r="J6" t="s">
        <v>55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32</v>
      </c>
      <c r="F7" t="s">
        <v>32</v>
      </c>
      <c r="G7" t="s">
        <v>32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56</v>
      </c>
      <c r="F8" t="s">
        <v>56</v>
      </c>
      <c r="G8" t="s">
        <v>56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27</v>
      </c>
      <c r="F9" t="s">
        <v>27</v>
      </c>
      <c r="G9" t="s">
        <v>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2FE2-4864-4798-9335-55F3D4E7525C}">
  <dimension ref="A1:M9"/>
  <sheetViews>
    <sheetView workbookViewId="0">
      <selection activeCell="C2" sqref="C2:D9"/>
    </sheetView>
  </sheetViews>
  <sheetFormatPr baseColWidth="10" defaultColWidth="11" defaultRowHeight="16" x14ac:dyDescent="0.2"/>
  <cols>
    <col min="1" max="1" width="14" bestFit="1" customWidth="1"/>
    <col min="2" max="4" width="9.6640625" bestFit="1" customWidth="1"/>
    <col min="5" max="7" width="19.1640625" bestFit="1" customWidth="1"/>
    <col min="8" max="10" width="24.332031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25</v>
      </c>
      <c r="F2" t="s">
        <v>25</v>
      </c>
      <c r="G2" t="s">
        <v>25</v>
      </c>
      <c r="H2" t="s">
        <v>52</v>
      </c>
      <c r="I2" t="s">
        <v>52</v>
      </c>
      <c r="J2" t="s">
        <v>52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26</v>
      </c>
      <c r="F3" t="s">
        <v>26</v>
      </c>
      <c r="G3" t="s">
        <v>26</v>
      </c>
      <c r="H3" t="s">
        <v>28</v>
      </c>
      <c r="I3" t="s">
        <v>28</v>
      </c>
      <c r="J3" t="s">
        <v>28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29</v>
      </c>
      <c r="F4" t="s">
        <v>29</v>
      </c>
      <c r="G4" t="s">
        <v>29</v>
      </c>
      <c r="H4" t="s">
        <v>53</v>
      </c>
      <c r="I4" t="s">
        <v>53</v>
      </c>
      <c r="J4" t="s">
        <v>53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54</v>
      </c>
      <c r="F5" t="s">
        <v>54</v>
      </c>
      <c r="G5" t="s">
        <v>54</v>
      </c>
      <c r="H5" t="s">
        <v>66</v>
      </c>
      <c r="I5" t="s">
        <v>66</v>
      </c>
      <c r="J5" t="s">
        <v>66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33</v>
      </c>
      <c r="F6" t="s">
        <v>33</v>
      </c>
      <c r="G6" t="s">
        <v>33</v>
      </c>
      <c r="H6" t="s">
        <v>55</v>
      </c>
      <c r="I6" t="s">
        <v>55</v>
      </c>
      <c r="J6" t="s">
        <v>55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32</v>
      </c>
      <c r="F7" t="s">
        <v>32</v>
      </c>
      <c r="G7" t="s">
        <v>32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56</v>
      </c>
      <c r="F8" t="s">
        <v>56</v>
      </c>
      <c r="G8" t="s">
        <v>56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27</v>
      </c>
      <c r="F9" t="s">
        <v>27</v>
      </c>
      <c r="G9" t="s">
        <v>27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D13E-4202-B24E-90AB-F581E60463A8}">
  <dimension ref="A1:M9"/>
  <sheetViews>
    <sheetView workbookViewId="0">
      <selection activeCell="K2" sqref="K2:M9"/>
    </sheetView>
  </sheetViews>
  <sheetFormatPr baseColWidth="10" defaultColWidth="11" defaultRowHeight="16" x14ac:dyDescent="0.2"/>
  <cols>
    <col min="1" max="1" width="14" bestFit="1" customWidth="1"/>
    <col min="2" max="4" width="9.1640625" bestFit="1" customWidth="1"/>
    <col min="5" max="7" width="24.33203125" bestFit="1" customWidth="1"/>
    <col min="8" max="10" width="19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1</v>
      </c>
      <c r="C2" t="s">
        <v>1</v>
      </c>
      <c r="D2" t="s">
        <v>1</v>
      </c>
      <c r="E2" t="s">
        <v>57</v>
      </c>
      <c r="F2" t="s">
        <v>57</v>
      </c>
      <c r="G2" t="s">
        <v>57</v>
      </c>
      <c r="H2" t="s">
        <v>65</v>
      </c>
      <c r="I2" t="s">
        <v>65</v>
      </c>
      <c r="J2" t="s">
        <v>65</v>
      </c>
    </row>
    <row r="3" spans="1:13" x14ac:dyDescent="0.2">
      <c r="A3" t="s">
        <v>3</v>
      </c>
      <c r="B3" t="s">
        <v>4</v>
      </c>
      <c r="C3" t="s">
        <v>4</v>
      </c>
      <c r="D3" t="s">
        <v>4</v>
      </c>
      <c r="E3" t="s">
        <v>58</v>
      </c>
      <c r="F3" t="s">
        <v>58</v>
      </c>
      <c r="G3" t="s">
        <v>58</v>
      </c>
      <c r="H3" t="s">
        <v>64</v>
      </c>
      <c r="I3" t="s">
        <v>64</v>
      </c>
      <c r="J3" t="s">
        <v>64</v>
      </c>
    </row>
    <row r="4" spans="1:13" x14ac:dyDescent="0.2">
      <c r="A4" t="s">
        <v>6</v>
      </c>
      <c r="B4" t="s">
        <v>7</v>
      </c>
      <c r="C4" t="s">
        <v>7</v>
      </c>
      <c r="D4" t="s">
        <v>7</v>
      </c>
      <c r="E4" t="s">
        <v>59</v>
      </c>
      <c r="F4" t="s">
        <v>59</v>
      </c>
      <c r="G4" t="s">
        <v>59</v>
      </c>
    </row>
    <row r="5" spans="1:13" x14ac:dyDescent="0.2">
      <c r="A5" t="s">
        <v>9</v>
      </c>
      <c r="B5" t="s">
        <v>10</v>
      </c>
      <c r="C5" t="s">
        <v>10</v>
      </c>
      <c r="D5" t="s">
        <v>10</v>
      </c>
      <c r="E5" t="s">
        <v>60</v>
      </c>
      <c r="F5" t="s">
        <v>60</v>
      </c>
      <c r="G5" t="s">
        <v>60</v>
      </c>
    </row>
    <row r="6" spans="1:13" x14ac:dyDescent="0.2">
      <c r="A6" t="s">
        <v>12</v>
      </c>
      <c r="B6" t="s">
        <v>13</v>
      </c>
      <c r="C6" t="s">
        <v>13</v>
      </c>
      <c r="D6" t="s">
        <v>13</v>
      </c>
      <c r="E6" t="s">
        <v>70</v>
      </c>
      <c r="F6" t="s">
        <v>70</v>
      </c>
      <c r="G6" t="s">
        <v>70</v>
      </c>
    </row>
    <row r="7" spans="1:13" x14ac:dyDescent="0.2">
      <c r="A7" t="s">
        <v>15</v>
      </c>
      <c r="B7" t="s">
        <v>16</v>
      </c>
      <c r="C7" t="s">
        <v>16</v>
      </c>
      <c r="D7" t="s">
        <v>16</v>
      </c>
      <c r="E7" t="s">
        <v>61</v>
      </c>
      <c r="F7" t="s">
        <v>61</v>
      </c>
      <c r="G7" t="s">
        <v>61</v>
      </c>
    </row>
    <row r="8" spans="1:13" x14ac:dyDescent="0.2">
      <c r="A8" t="s">
        <v>18</v>
      </c>
      <c r="B8" t="s">
        <v>19</v>
      </c>
      <c r="C8" t="s">
        <v>19</v>
      </c>
      <c r="D8" t="s">
        <v>19</v>
      </c>
      <c r="E8" t="s">
        <v>62</v>
      </c>
      <c r="F8" t="s">
        <v>62</v>
      </c>
      <c r="G8" t="s">
        <v>62</v>
      </c>
    </row>
    <row r="9" spans="1:13" x14ac:dyDescent="0.2">
      <c r="A9" t="s">
        <v>21</v>
      </c>
      <c r="B9" t="s">
        <v>22</v>
      </c>
      <c r="C9" t="s">
        <v>22</v>
      </c>
      <c r="D9" t="s">
        <v>22</v>
      </c>
      <c r="E9" t="s">
        <v>63</v>
      </c>
      <c r="F9" t="s">
        <v>63</v>
      </c>
      <c r="G9" t="s">
        <v>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62176-A398-AB4C-A136-6BF964D77C5A}">
  <dimension ref="A1:M14"/>
  <sheetViews>
    <sheetView workbookViewId="0">
      <selection activeCell="G12" sqref="G12"/>
    </sheetView>
  </sheetViews>
  <sheetFormatPr baseColWidth="10" defaultColWidth="11" defaultRowHeight="16" x14ac:dyDescent="0.2"/>
  <cols>
    <col min="1" max="1" width="14" bestFit="1" customWidth="1"/>
    <col min="2" max="2" width="14.33203125" bestFit="1" customWidth="1"/>
    <col min="5" max="7" width="24.33203125" bestFit="1" customWidth="1"/>
    <col min="8" max="10" width="19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57</v>
      </c>
      <c r="F2" t="s">
        <v>57</v>
      </c>
      <c r="G2" t="s">
        <v>57</v>
      </c>
      <c r="H2" t="s">
        <v>65</v>
      </c>
      <c r="I2" t="s">
        <v>65</v>
      </c>
      <c r="J2" t="s">
        <v>65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58</v>
      </c>
      <c r="F3" t="s">
        <v>58</v>
      </c>
      <c r="G3" t="s">
        <v>58</v>
      </c>
      <c r="H3" t="s">
        <v>64</v>
      </c>
      <c r="I3" t="s">
        <v>64</v>
      </c>
      <c r="J3" t="s">
        <v>64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59</v>
      </c>
      <c r="F4" t="s">
        <v>59</v>
      </c>
      <c r="G4" t="s">
        <v>59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60</v>
      </c>
      <c r="F5" t="s">
        <v>60</v>
      </c>
      <c r="G5" t="s">
        <v>60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70</v>
      </c>
      <c r="F6" t="s">
        <v>70</v>
      </c>
      <c r="G6" t="s">
        <v>70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61</v>
      </c>
      <c r="F7" t="s">
        <v>61</v>
      </c>
      <c r="G7" t="s">
        <v>61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62</v>
      </c>
      <c r="F8" t="s">
        <v>62</v>
      </c>
      <c r="G8" t="s">
        <v>62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63</v>
      </c>
      <c r="F9" t="s">
        <v>63</v>
      </c>
      <c r="G9" t="s">
        <v>63</v>
      </c>
    </row>
    <row r="11" spans="1:13" x14ac:dyDescent="0.2">
      <c r="E11" t="s">
        <v>63</v>
      </c>
      <c r="F11">
        <v>2.7320000000000002</v>
      </c>
      <c r="G11">
        <f>F11/5</f>
        <v>0.5464</v>
      </c>
    </row>
    <row r="12" spans="1:13" x14ac:dyDescent="0.2">
      <c r="E12" t="s">
        <v>62</v>
      </c>
      <c r="F12">
        <v>1.012</v>
      </c>
      <c r="G12">
        <f t="shared" ref="G12:G14" si="0">F12/5</f>
        <v>0.2024</v>
      </c>
    </row>
    <row r="13" spans="1:13" x14ac:dyDescent="0.2">
      <c r="E13" t="s">
        <v>58</v>
      </c>
      <c r="F13">
        <v>0.98899999999999999</v>
      </c>
      <c r="G13">
        <f t="shared" si="0"/>
        <v>0.1978</v>
      </c>
    </row>
    <row r="14" spans="1:13" x14ac:dyDescent="0.2">
      <c r="E14" t="s">
        <v>65</v>
      </c>
      <c r="F14">
        <v>1.599</v>
      </c>
      <c r="G14">
        <f t="shared" si="0"/>
        <v>0.31979999999999997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1B2D-2CF4-9B4C-A279-90E2C6BCED9D}">
  <dimension ref="A1:M9"/>
  <sheetViews>
    <sheetView workbookViewId="0">
      <selection activeCell="K42" sqref="K42"/>
    </sheetView>
  </sheetViews>
  <sheetFormatPr baseColWidth="10" defaultRowHeight="16" x14ac:dyDescent="0.2"/>
  <cols>
    <col min="5" max="7" width="26.6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62</v>
      </c>
      <c r="F2" t="s">
        <v>62</v>
      </c>
      <c r="G2" t="s">
        <v>62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72</v>
      </c>
      <c r="F3" t="s">
        <v>72</v>
      </c>
      <c r="G3" t="s">
        <v>72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58</v>
      </c>
      <c r="F4" t="s">
        <v>58</v>
      </c>
      <c r="G4" t="s">
        <v>58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74</v>
      </c>
      <c r="F5" t="s">
        <v>74</v>
      </c>
      <c r="G5" t="s">
        <v>74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63</v>
      </c>
      <c r="F6" t="s">
        <v>63</v>
      </c>
      <c r="G6" t="s">
        <v>63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73</v>
      </c>
      <c r="F7" t="s">
        <v>73</v>
      </c>
      <c r="G7" t="s">
        <v>73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65</v>
      </c>
      <c r="F8" t="s">
        <v>65</v>
      </c>
      <c r="G8" t="s">
        <v>65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75</v>
      </c>
      <c r="F9" t="s">
        <v>75</v>
      </c>
      <c r="G9" t="s">
        <v>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56DF9-3DB6-A147-886E-7F10FC68241C}">
  <dimension ref="A1:M9"/>
  <sheetViews>
    <sheetView tabSelected="1" workbookViewId="0">
      <selection activeCell="K42" sqref="K42"/>
    </sheetView>
  </sheetViews>
  <sheetFormatPr baseColWidth="10" defaultRowHeight="16" x14ac:dyDescent="0.2"/>
  <cols>
    <col min="5" max="7" width="26.6640625" bestFit="1" customWidth="1"/>
  </cols>
  <sheetData>
    <row r="1" spans="1:13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 x14ac:dyDescent="0.2">
      <c r="A2" t="s">
        <v>0</v>
      </c>
      <c r="B2" t="s">
        <v>2</v>
      </c>
      <c r="C2" t="s">
        <v>2</v>
      </c>
      <c r="D2" t="s">
        <v>2</v>
      </c>
      <c r="E2" t="s">
        <v>62</v>
      </c>
      <c r="F2" t="s">
        <v>62</v>
      </c>
      <c r="G2" t="s">
        <v>62</v>
      </c>
    </row>
    <row r="3" spans="1:13" x14ac:dyDescent="0.2">
      <c r="A3" t="s">
        <v>3</v>
      </c>
      <c r="B3" t="s">
        <v>5</v>
      </c>
      <c r="C3" t="s">
        <v>5</v>
      </c>
      <c r="D3" t="s">
        <v>5</v>
      </c>
      <c r="E3" t="s">
        <v>72</v>
      </c>
      <c r="F3" t="s">
        <v>72</v>
      </c>
      <c r="G3" t="s">
        <v>72</v>
      </c>
    </row>
    <row r="4" spans="1:13" x14ac:dyDescent="0.2">
      <c r="A4" t="s">
        <v>6</v>
      </c>
      <c r="B4" t="s">
        <v>8</v>
      </c>
      <c r="C4" t="s">
        <v>8</v>
      </c>
      <c r="D4" t="s">
        <v>8</v>
      </c>
      <c r="E4" t="s">
        <v>58</v>
      </c>
      <c r="F4" t="s">
        <v>58</v>
      </c>
      <c r="G4" t="s">
        <v>58</v>
      </c>
    </row>
    <row r="5" spans="1:13" x14ac:dyDescent="0.2">
      <c r="A5" t="s">
        <v>9</v>
      </c>
      <c r="B5" t="s">
        <v>11</v>
      </c>
      <c r="C5" t="s">
        <v>11</v>
      </c>
      <c r="D5" t="s">
        <v>11</v>
      </c>
      <c r="E5" t="s">
        <v>74</v>
      </c>
      <c r="F5" t="s">
        <v>74</v>
      </c>
      <c r="G5" t="s">
        <v>74</v>
      </c>
    </row>
    <row r="6" spans="1:13" x14ac:dyDescent="0.2">
      <c r="A6" t="s">
        <v>12</v>
      </c>
      <c r="B6" t="s">
        <v>14</v>
      </c>
      <c r="C6" t="s">
        <v>14</v>
      </c>
      <c r="D6" t="s">
        <v>14</v>
      </c>
      <c r="E6" t="s">
        <v>63</v>
      </c>
      <c r="F6" t="s">
        <v>63</v>
      </c>
      <c r="G6" t="s">
        <v>63</v>
      </c>
    </row>
    <row r="7" spans="1:13" x14ac:dyDescent="0.2">
      <c r="A7" t="s">
        <v>15</v>
      </c>
      <c r="B7" t="s">
        <v>17</v>
      </c>
      <c r="C7" t="s">
        <v>17</v>
      </c>
      <c r="D7" t="s">
        <v>17</v>
      </c>
      <c r="E7" t="s">
        <v>73</v>
      </c>
      <c r="F7" t="s">
        <v>73</v>
      </c>
      <c r="G7" t="s">
        <v>73</v>
      </c>
    </row>
    <row r="8" spans="1:13" x14ac:dyDescent="0.2">
      <c r="A8" t="s">
        <v>18</v>
      </c>
      <c r="B8" t="s">
        <v>20</v>
      </c>
      <c r="C8" t="s">
        <v>20</v>
      </c>
      <c r="D8" t="s">
        <v>20</v>
      </c>
      <c r="E8" t="s">
        <v>65</v>
      </c>
      <c r="F8" t="s">
        <v>65</v>
      </c>
      <c r="G8" t="s">
        <v>65</v>
      </c>
    </row>
    <row r="9" spans="1:13" x14ac:dyDescent="0.2">
      <c r="A9" t="s">
        <v>21</v>
      </c>
      <c r="B9" t="s">
        <v>23</v>
      </c>
      <c r="C9" t="s">
        <v>23</v>
      </c>
      <c r="D9" t="s">
        <v>23</v>
      </c>
      <c r="E9" t="s">
        <v>75</v>
      </c>
      <c r="F9" t="s">
        <v>75</v>
      </c>
      <c r="G9" t="s">
        <v>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F88F6F7EE4CD4B82C1B33855E0F7E8" ma:contentTypeVersion="3" ma:contentTypeDescription="Create a new document." ma:contentTypeScope="" ma:versionID="64cb4cc7036794b82b9e5aa8e91c3622">
  <xsd:schema xmlns:xsd="http://www.w3.org/2001/XMLSchema" xmlns:xs="http://www.w3.org/2001/XMLSchema" xmlns:p="http://schemas.microsoft.com/office/2006/metadata/properties" xmlns:ns2="399018e3-b857-408b-bd21-a6a80c979a4e" targetNamespace="http://schemas.microsoft.com/office/2006/metadata/properties" ma:root="true" ma:fieldsID="94968af49f0175a612c20130cdc28d5d" ns2:_="">
    <xsd:import namespace="399018e3-b857-408b-bd21-a6a80c979a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018e3-b857-408b-bd21-a6a80c979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374E2DF-FCF3-4A80-B78B-5197E35586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6B924E-C93B-4EBF-8185-7DC0083318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018e3-b857-408b-bd21-a6a80c979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FF387C-D0E4-41E3-A2B6-5759715EBA83}">
  <ds:schemaRefs>
    <ds:schemaRef ds:uri="http://purl.org/dc/elements/1.1/"/>
    <ds:schemaRef ds:uri="http://www.w3.org/XML/1998/namespace"/>
    <ds:schemaRef ds:uri="http://schemas.microsoft.com/office/infopath/2007/PartnerControls"/>
    <ds:schemaRef ds:uri="399018e3-b857-408b-bd21-a6a80c979a4e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Format</vt:lpstr>
      <vt:lpstr>06182026_1</vt:lpstr>
      <vt:lpstr>06182026_2</vt:lpstr>
      <vt:lpstr>06192026_1</vt:lpstr>
      <vt:lpstr>06192026_2</vt:lpstr>
      <vt:lpstr>06192026_3</vt:lpstr>
      <vt:lpstr>06192026_4</vt:lpstr>
      <vt:lpstr>06222026_1</vt:lpstr>
      <vt:lpstr>06222026_2</vt:lpstr>
      <vt:lpstr>06242026_1</vt:lpstr>
      <vt:lpstr>06242026_2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Jaedon Swanson</dc:creator>
  <cp:keywords/>
  <dc:description/>
  <cp:lastModifiedBy>Jaedon Swanson</cp:lastModifiedBy>
  <cp:revision/>
  <dcterms:created xsi:type="dcterms:W3CDTF">2026-06-18T13:45:32Z</dcterms:created>
  <dcterms:modified xsi:type="dcterms:W3CDTF">2026-06-24T21:12:17Z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0x010100F4F88F6F7EE4CD4B82C1B33855E0F7E8</vt:lpwstr>
  </property>
</Properties>
</file>